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264" activeTab="2"/>
  </bookViews>
  <sheets>
    <sheet name="SalesData" sheetId="1" r:id="rId1"/>
    <sheet name="Dashboard" sheetId="2" r:id="rId2"/>
    <sheet name="Pivot_Store" sheetId="3" r:id="rId3"/>
  </sheets>
  <calcPr calcId="152511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2" i="1"/>
</calcChain>
</file>

<file path=xl/sharedStrings.xml><?xml version="1.0" encoding="utf-8"?>
<sst xmlns="http://schemas.openxmlformats.org/spreadsheetml/2006/main" count="118" uniqueCount="68">
  <si>
    <t>Transaction_ID</t>
  </si>
  <si>
    <t>Date</t>
  </si>
  <si>
    <t>Customer_ID</t>
  </si>
  <si>
    <t>Segment</t>
  </si>
  <si>
    <t>Product_Type</t>
  </si>
  <si>
    <t>Amount ($)</t>
  </si>
  <si>
    <t>Fee ($)</t>
  </si>
  <si>
    <t>Status</t>
  </si>
  <si>
    <t>Region</t>
  </si>
  <si>
    <t>TXN-1001</t>
  </si>
  <si>
    <t>CUST-801</t>
  </si>
  <si>
    <t>Retail</t>
  </si>
  <si>
    <t>Mutual Funds</t>
  </si>
  <si>
    <t>Completed</t>
  </si>
  <si>
    <t>North</t>
  </si>
  <si>
    <t>TXN-1002</t>
  </si>
  <si>
    <t>CUST-802</t>
  </si>
  <si>
    <t>High Net Worth</t>
  </si>
  <si>
    <t>Fixed Income</t>
  </si>
  <si>
    <t>West</t>
  </si>
  <si>
    <t>TXN-1003</t>
  </si>
  <si>
    <t>CUST-803</t>
  </si>
  <si>
    <t>Corporate</t>
  </si>
  <si>
    <t>Equity Funds</t>
  </si>
  <si>
    <t>South</t>
  </si>
  <si>
    <t>TXN-1004</t>
  </si>
  <si>
    <t>CUST-804</t>
  </si>
  <si>
    <t>ETF</t>
  </si>
  <si>
    <t>Pending</t>
  </si>
  <si>
    <t>East</t>
  </si>
  <si>
    <t>TXN-1005</t>
  </si>
  <si>
    <t>TXN-1006</t>
  </si>
  <si>
    <t>CUST-805</t>
  </si>
  <si>
    <t>TXN-1007</t>
  </si>
  <si>
    <t>CUST-806</t>
  </si>
  <si>
    <t>Treasury Bills</t>
  </si>
  <si>
    <t>TXN-1008</t>
  </si>
  <si>
    <t>CUST-807</t>
  </si>
  <si>
    <t>Failed</t>
  </si>
  <si>
    <t>TXN-1009</t>
  </si>
  <si>
    <t>TXN-1010</t>
  </si>
  <si>
    <t>CUST-808</t>
  </si>
  <si>
    <t>TXN-1011</t>
  </si>
  <si>
    <t>TXN-1012</t>
  </si>
  <si>
    <t>CUST-809</t>
  </si>
  <si>
    <t>Customer Category</t>
  </si>
  <si>
    <t>KPI Metric</t>
  </si>
  <si>
    <t>Formula to Use in Cell</t>
  </si>
  <si>
    <t>Result</t>
  </si>
  <si>
    <t>Total Transaction Value</t>
  </si>
  <si>
    <t>=SUM(SalesData[Amount ($)])</t>
  </si>
  <si>
    <t>$234,800.00</t>
  </si>
  <si>
    <t>Total Revenue (Fees)</t>
  </si>
  <si>
    <t>=SUM(SalesData[Fee ($)])</t>
  </si>
  <si>
    <t>$1,742.00</t>
  </si>
  <si>
    <t>Completed Transactions</t>
  </si>
  <si>
    <t>=COUNTIF(SalesData[Status], "Completed")</t>
  </si>
  <si>
    <t>10</t>
  </si>
  <si>
    <t>Average Order Value (AOV)</t>
  </si>
  <si>
    <t>=AVERAGE(SalesData[Amount ($)])</t>
  </si>
  <si>
    <t>$19,566.67</t>
  </si>
  <si>
    <t>Row Labels</t>
  </si>
  <si>
    <t>Grand Total</t>
  </si>
  <si>
    <t>Sum of Fee ($)</t>
  </si>
  <si>
    <t>Jan</t>
  </si>
  <si>
    <t>Feb</t>
  </si>
  <si>
    <t>Mar</t>
  </si>
  <si>
    <t>Sum of Amount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</si>
</sst>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m/dd"/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prj1.xlsx]Pivot_Store!PivotTable2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  <a:p>
            <a:pPr>
              <a:defRPr/>
            </a:pPr>
            <a:r>
              <a:rPr lang="en-IN">
                <a:effectLst/>
              </a:rPr>
              <a:t>Monthly Fee Revenue Trend 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0940266841644792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Pivot_Store!$B$1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Pivot_Store!$A$2:$A$5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Pivot_Store!$B$2:$B$5</c:f>
              <c:numCache>
                <c:formatCode>General</c:formatCode>
                <c:ptCount val="3"/>
                <c:pt idx="0">
                  <c:v>525</c:v>
                </c:pt>
                <c:pt idx="1">
                  <c:v>630</c:v>
                </c:pt>
                <c:pt idx="2">
                  <c:v>587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291064"/>
        <c:axId val="510289104"/>
      </c:lineChart>
      <c:catAx>
        <c:axId val="51029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89104"/>
        <c:crosses val="autoZero"/>
        <c:auto val="1"/>
        <c:lblAlgn val="ctr"/>
        <c:lblOffset val="100"/>
        <c:noMultiLvlLbl val="0"/>
      </c:catAx>
      <c:valAx>
        <c:axId val="51028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9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prj1.xlsx]Pivot_Store!PivotTable3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effectLst/>
              </a:rPr>
              <a:t>Transaction Volume by Product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Pivot_Store!$B$15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Pivot_Store!$A$16:$A$21</c:f>
              <c:strCache>
                <c:ptCount val="5"/>
                <c:pt idx="0">
                  <c:v>Equity Funds</c:v>
                </c:pt>
                <c:pt idx="1">
                  <c:v>Treasury Bills</c:v>
                </c:pt>
                <c:pt idx="2">
                  <c:v>Fixed Income</c:v>
                </c:pt>
                <c:pt idx="3">
                  <c:v>Mutual Funds</c:v>
                </c:pt>
                <c:pt idx="4">
                  <c:v>ETF</c:v>
                </c:pt>
              </c:strCache>
            </c:strRef>
          </c:cat>
          <c:val>
            <c:numRef>
              <c:f>Pivot_Store!$B$16:$B$21</c:f>
              <c:numCache>
                <c:formatCode>General</c:formatCode>
                <c:ptCount val="5"/>
                <c:pt idx="0">
                  <c:v>115500</c:v>
                </c:pt>
                <c:pt idx="1">
                  <c:v>75000</c:v>
                </c:pt>
                <c:pt idx="2">
                  <c:v>21500</c:v>
                </c:pt>
                <c:pt idx="3">
                  <c:v>20800</c:v>
                </c:pt>
                <c:pt idx="4">
                  <c:v>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0300080"/>
        <c:axId val="510301648"/>
      </c:barChart>
      <c:catAx>
        <c:axId val="51030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01648"/>
        <c:crosses val="autoZero"/>
        <c:auto val="1"/>
        <c:lblAlgn val="ctr"/>
        <c:lblOffset val="100"/>
        <c:noMultiLvlLbl val="0"/>
      </c:catAx>
      <c:valAx>
        <c:axId val="51030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0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prj1.xlsx]Pivot_Store!PivotTable4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Share by Region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Pivot_Store!$B$28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Pivot_Store!$A$29:$A$33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Pivot_Store!$B$29:$B$33</c:f>
              <c:numCache>
                <c:formatCode>General</c:formatCode>
                <c:ptCount val="4"/>
                <c:pt idx="0">
                  <c:v>3900</c:v>
                </c:pt>
                <c:pt idx="1">
                  <c:v>92700</c:v>
                </c:pt>
                <c:pt idx="2">
                  <c:v>98200</c:v>
                </c:pt>
                <c:pt idx="3">
                  <c:v>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</xdr:row>
      <xdr:rowOff>30480</xdr:rowOff>
    </xdr:from>
    <xdr:to>
      <xdr:col>13</xdr:col>
      <xdr:colOff>190500</xdr:colOff>
      <xdr:row>3</xdr:row>
      <xdr:rowOff>1173480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518160</xdr:colOff>
      <xdr:row>4</xdr:row>
      <xdr:rowOff>99060</xdr:rowOff>
    </xdr:from>
    <xdr:to>
      <xdr:col>13</xdr:col>
      <xdr:colOff>213360</xdr:colOff>
      <xdr:row>15</xdr:row>
      <xdr:rowOff>15240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502920</xdr:colOff>
      <xdr:row>17</xdr:row>
      <xdr:rowOff>38100</xdr:rowOff>
    </xdr:from>
    <xdr:to>
      <xdr:col>13</xdr:col>
      <xdr:colOff>198120</xdr:colOff>
      <xdr:row>32</xdr:row>
      <xdr:rowOff>38100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hishek ahire" refreshedDate="46315.770653356478" createdVersion="5" refreshedVersion="5" minRefreshableVersion="3" recordCount="12">
  <cacheSource type="worksheet">
    <worksheetSource ref="A1:J13" sheet="SalesData"/>
  </cacheSource>
  <cacheFields count="10">
    <cacheField name="Transaction_ID" numFmtId="0">
      <sharedItems/>
    </cacheField>
    <cacheField name="Date" numFmtId="164">
      <sharedItems containsSemiMixedTypes="0" containsNonDate="0" containsDate="1" containsString="0" minDate="2026-01-05T00:00:00" maxDate="2026-03-13T00:00:00" count="12">
        <d v="2026-01-05T00:00:00"/>
        <d v="2026-01-08T00:00:00"/>
        <d v="2026-01-12T00:00:00"/>
        <d v="2026-01-15T00:00:00"/>
        <d v="2026-01-19T00:00:00"/>
        <d v="2026-02-02T00:00:00"/>
        <d v="2026-02-10T00:00:00"/>
        <d v="2026-02-14T00:00:00"/>
        <d v="2026-02-22T00:00:00"/>
        <d v="2026-03-01T00:00:00"/>
        <d v="2026-03-05T00:00:00"/>
        <d v="2026-03-12T00:00:00"/>
      </sharedItems>
      <fieldGroup base="1">
        <rangePr groupBy="months" startDate="2026-01-05T00:00:00" endDate="2026-03-13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3-2026"/>
        </groupItems>
      </fieldGroup>
    </cacheField>
    <cacheField name="Customer_ID" numFmtId="0">
      <sharedItems/>
    </cacheField>
    <cacheField name="Segment" numFmtId="0">
      <sharedItems/>
    </cacheField>
    <cacheField name="Product_Type" numFmtId="0">
      <sharedItems count="5">
        <s v="Mutual Funds"/>
        <s v="Fixed Income"/>
        <s v="Equity Funds"/>
        <s v="ETF"/>
        <s v="Treasury Bills"/>
      </sharedItems>
    </cacheField>
    <cacheField name="Amount ($)" numFmtId="165">
      <sharedItems containsSemiMixedTypes="0" containsString="0" containsNumber="1" containsInteger="1" minValue="800" maxValue="75000"/>
    </cacheField>
    <cacheField name="Fee ($)" numFmtId="165">
      <sharedItems containsSemiMixedTypes="0" containsString="0" containsNumber="1" containsInteger="1" minValue="8" maxValue="416"/>
    </cacheField>
    <cacheField name="Status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Customer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TXN-1001"/>
    <x v="0"/>
    <s v="CUST-801"/>
    <s v="Retail"/>
    <x v="0"/>
    <n v="1500"/>
    <n v="15"/>
    <s v="Completed"/>
    <x v="0"/>
    <s v="Tier 1"/>
  </r>
  <r>
    <s v="TXN-1002"/>
    <x v="1"/>
    <s v="CUST-802"/>
    <s v="High Net Worth"/>
    <x v="1"/>
    <n v="12000"/>
    <n v="120"/>
    <s v="Completed"/>
    <x v="1"/>
    <s v="Tier 2"/>
  </r>
  <r>
    <s v="TXN-1003"/>
    <x v="2"/>
    <s v="CUST-803"/>
    <s v="Corporate"/>
    <x v="2"/>
    <n v="45000"/>
    <n v="360"/>
    <s v="Completed"/>
    <x v="2"/>
    <s v="Tier 3"/>
  </r>
  <r>
    <s v="TXN-1004"/>
    <x v="3"/>
    <s v="CUST-804"/>
    <s v="Retail"/>
    <x v="3"/>
    <n v="800"/>
    <n v="8"/>
    <s v="Pending"/>
    <x v="3"/>
    <s v="Tier 1"/>
  </r>
  <r>
    <s v="TXN-1005"/>
    <x v="4"/>
    <s v="CUST-801"/>
    <s v="Retail"/>
    <x v="0"/>
    <n v="2200"/>
    <n v="22"/>
    <s v="Completed"/>
    <x v="0"/>
    <s v="Tier 1"/>
  </r>
  <r>
    <s v="TXN-1006"/>
    <x v="5"/>
    <s v="CUST-805"/>
    <s v="High Net Worth"/>
    <x v="2"/>
    <n v="18500"/>
    <n v="148"/>
    <s v="Completed"/>
    <x v="1"/>
    <s v="Tier 2"/>
  </r>
  <r>
    <s v="TXN-1007"/>
    <x v="6"/>
    <s v="CUST-806"/>
    <s v="Corporate"/>
    <x v="4"/>
    <n v="75000"/>
    <n v="375"/>
    <s v="Completed"/>
    <x v="0"/>
    <s v="Tier 3"/>
  </r>
  <r>
    <s v="TXN-1008"/>
    <x v="7"/>
    <s v="CUST-807"/>
    <s v="Retail"/>
    <x v="3"/>
    <n v="1200"/>
    <n v="12"/>
    <s v="Failed"/>
    <x v="2"/>
    <s v="Tier 1"/>
  </r>
  <r>
    <s v="TXN-1009"/>
    <x v="8"/>
    <s v="CUST-802"/>
    <s v="High Net Worth"/>
    <x v="1"/>
    <n v="9500"/>
    <n v="95"/>
    <s v="Completed"/>
    <x v="1"/>
    <s v="Tier 2"/>
  </r>
  <r>
    <s v="TXN-1010"/>
    <x v="9"/>
    <s v="CUST-808"/>
    <s v="Retail"/>
    <x v="0"/>
    <n v="3100"/>
    <n v="31"/>
    <s v="Completed"/>
    <x v="3"/>
    <s v="Tier 1"/>
  </r>
  <r>
    <s v="TXN-1011"/>
    <x v="10"/>
    <s v="CUST-803"/>
    <s v="Corporate"/>
    <x v="2"/>
    <n v="52000"/>
    <n v="416"/>
    <s v="Completed"/>
    <x v="2"/>
    <s v="Tier 3"/>
  </r>
  <r>
    <s v="TXN-1012"/>
    <x v="11"/>
    <s v="CUST-809"/>
    <s v="High Net Worth"/>
    <x v="0"/>
    <n v="14000"/>
    <n v="140"/>
    <s v="Completed"/>
    <x v="0"/>
    <s v="Tier 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28:B33" firstHeaderRow="1" firstDataRow="1" firstDataCol="1"/>
  <pivotFields count="10">
    <pivotField showAll="0"/>
    <pivotField numFmtId="164" showAll="0"/>
    <pivotField showAll="0"/>
    <pivotField showAll="0"/>
    <pivotField showAll="0"/>
    <pivotField dataField="1" numFmtId="165" showAll="0"/>
    <pivotField numFmtId="165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 ($)" fld="5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15:B21" firstHeaderRow="1" firstDataRow="1" firstDataCol="1"/>
  <pivotFields count="10">
    <pivotField showAll="0"/>
    <pivotField numFmtId="164" showAll="0"/>
    <pivotField showAll="0"/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numFmtId="165" showAll="0"/>
    <pivotField showAll="0"/>
    <pivotField showAll="0"/>
    <pivotField showAll="0"/>
  </pivotFields>
  <rowFields count="1">
    <field x="4"/>
  </rowFields>
  <rowItems count="6">
    <i>
      <x/>
    </i>
    <i>
      <x v="4"/>
    </i>
    <i>
      <x v="2"/>
    </i>
    <i>
      <x v="3"/>
    </i>
    <i>
      <x v="1"/>
    </i>
    <i t="grand">
      <x/>
    </i>
  </rowItems>
  <colItems count="1">
    <i/>
  </colItems>
  <dataFields count="1">
    <dataField name="Sum of Amount ($)" fld="5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>
  <location ref="A1:B5" firstHeaderRow="1" firstDataRow="1" firstDataCol="1"/>
  <pivotFields count="10">
    <pivotField showAll="0"/>
    <pivotField axis="axisRow" numFmtId="16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showAll="0"/>
    <pivotField showAll="0"/>
    <pivotField numFmtId="165" showAll="0"/>
    <pivotField dataField="1" numFmtId="165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ee ($)" fld="6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0" zoomScaleNormal="70" workbookViewId="0">
      <selection activeCell="P7" sqref="P7"/>
    </sheetView>
  </sheetViews>
  <sheetFormatPr defaultRowHeight="14.4" x14ac:dyDescent="0.3"/>
  <cols>
    <col min="2" max="2" width="12.5546875" bestFit="1" customWidth="1"/>
    <col min="3" max="3" width="8.5546875" bestFit="1" customWidth="1"/>
    <col min="4" max="4" width="8.44140625" bestFit="1" customWidth="1"/>
    <col min="6" max="6" width="12.88671875" bestFit="1" customWidth="1"/>
    <col min="7" max="7" width="10.109375" bestFit="1" customWidth="1"/>
    <col min="8" max="8" width="8.5546875" bestFit="1" customWidth="1"/>
    <col min="9" max="9" width="8" bestFit="1" customWidth="1"/>
  </cols>
  <sheetData>
    <row r="1" spans="1:10" ht="31.2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4" t="s">
        <v>7</v>
      </c>
      <c r="I1" s="4" t="s">
        <v>8</v>
      </c>
      <c r="J1" s="7" t="s">
        <v>45</v>
      </c>
    </row>
    <row r="2" spans="1:10" ht="31.2" x14ac:dyDescent="0.3">
      <c r="A2" s="8" t="s">
        <v>9</v>
      </c>
      <c r="B2" s="9">
        <v>46027</v>
      </c>
      <c r="C2" s="8" t="s">
        <v>10</v>
      </c>
      <c r="D2" s="8" t="s">
        <v>11</v>
      </c>
      <c r="E2" s="8" t="s">
        <v>12</v>
      </c>
      <c r="F2" s="10">
        <v>1500</v>
      </c>
      <c r="G2" s="10">
        <v>15</v>
      </c>
      <c r="H2" s="8" t="s">
        <v>13</v>
      </c>
      <c r="I2" s="8" t="s">
        <v>14</v>
      </c>
      <c r="J2" s="7" t="str">
        <f>IF(D2="Retail", "Tier 1", IF(D2="High Net Worth", "Tier 2", IF(D2="Corporate", "Tier 3", "Other")))</f>
        <v>Tier 1</v>
      </c>
    </row>
    <row r="3" spans="1:10" ht="46.8" x14ac:dyDescent="0.3">
      <c r="A3" s="8" t="s">
        <v>15</v>
      </c>
      <c r="B3" s="9">
        <v>46030</v>
      </c>
      <c r="C3" s="8" t="s">
        <v>16</v>
      </c>
      <c r="D3" s="8" t="s">
        <v>17</v>
      </c>
      <c r="E3" s="8" t="s">
        <v>18</v>
      </c>
      <c r="F3" s="10">
        <v>12000</v>
      </c>
      <c r="G3" s="10">
        <v>120</v>
      </c>
      <c r="H3" s="8" t="s">
        <v>13</v>
      </c>
      <c r="I3" s="8" t="s">
        <v>19</v>
      </c>
      <c r="J3" s="7" t="str">
        <f t="shared" ref="J3:J13" si="0">IF(D3="Retail", "Tier 1", IF(D3="High Net Worth", "Tier 2", IF(D3="Corporate", "Tier 3", "Other")))</f>
        <v>Tier 2</v>
      </c>
    </row>
    <row r="4" spans="1:10" ht="31.2" x14ac:dyDescent="0.3">
      <c r="A4" s="8" t="s">
        <v>20</v>
      </c>
      <c r="B4" s="9">
        <v>46034</v>
      </c>
      <c r="C4" s="8" t="s">
        <v>21</v>
      </c>
      <c r="D4" s="8" t="s">
        <v>22</v>
      </c>
      <c r="E4" s="8" t="s">
        <v>23</v>
      </c>
      <c r="F4" s="10">
        <v>45000</v>
      </c>
      <c r="G4" s="10">
        <v>360</v>
      </c>
      <c r="H4" s="8" t="s">
        <v>13</v>
      </c>
      <c r="I4" s="8" t="s">
        <v>24</v>
      </c>
      <c r="J4" s="7" t="str">
        <f t="shared" si="0"/>
        <v>Tier 3</v>
      </c>
    </row>
    <row r="5" spans="1:10" ht="31.2" x14ac:dyDescent="0.3">
      <c r="A5" s="8" t="s">
        <v>25</v>
      </c>
      <c r="B5" s="9">
        <v>46037</v>
      </c>
      <c r="C5" s="8" t="s">
        <v>26</v>
      </c>
      <c r="D5" s="8" t="s">
        <v>11</v>
      </c>
      <c r="E5" s="8" t="s">
        <v>27</v>
      </c>
      <c r="F5" s="10">
        <v>800</v>
      </c>
      <c r="G5" s="10">
        <v>8</v>
      </c>
      <c r="H5" s="8" t="s">
        <v>28</v>
      </c>
      <c r="I5" s="8" t="s">
        <v>29</v>
      </c>
      <c r="J5" s="7" t="str">
        <f t="shared" si="0"/>
        <v>Tier 1</v>
      </c>
    </row>
    <row r="6" spans="1:10" ht="31.2" x14ac:dyDescent="0.3">
      <c r="A6" s="8" t="s">
        <v>30</v>
      </c>
      <c r="B6" s="9">
        <v>46041</v>
      </c>
      <c r="C6" s="8" t="s">
        <v>10</v>
      </c>
      <c r="D6" s="8" t="s">
        <v>11</v>
      </c>
      <c r="E6" s="8" t="s">
        <v>12</v>
      </c>
      <c r="F6" s="10">
        <v>2200</v>
      </c>
      <c r="G6" s="10">
        <v>22</v>
      </c>
      <c r="H6" s="8" t="s">
        <v>13</v>
      </c>
      <c r="I6" s="8" t="s">
        <v>14</v>
      </c>
      <c r="J6" s="7" t="str">
        <f t="shared" si="0"/>
        <v>Tier 1</v>
      </c>
    </row>
    <row r="7" spans="1:10" ht="46.8" x14ac:dyDescent="0.3">
      <c r="A7" s="8" t="s">
        <v>31</v>
      </c>
      <c r="B7" s="9">
        <v>46055</v>
      </c>
      <c r="C7" s="8" t="s">
        <v>32</v>
      </c>
      <c r="D7" s="8" t="s">
        <v>17</v>
      </c>
      <c r="E7" s="8" t="s">
        <v>23</v>
      </c>
      <c r="F7" s="10">
        <v>18500</v>
      </c>
      <c r="G7" s="10">
        <v>148</v>
      </c>
      <c r="H7" s="8" t="s">
        <v>13</v>
      </c>
      <c r="I7" s="8" t="s">
        <v>19</v>
      </c>
      <c r="J7" s="7" t="str">
        <f t="shared" si="0"/>
        <v>Tier 2</v>
      </c>
    </row>
    <row r="8" spans="1:10" ht="31.2" x14ac:dyDescent="0.3">
      <c r="A8" s="8" t="s">
        <v>33</v>
      </c>
      <c r="B8" s="9">
        <v>46063</v>
      </c>
      <c r="C8" s="8" t="s">
        <v>34</v>
      </c>
      <c r="D8" s="8" t="s">
        <v>22</v>
      </c>
      <c r="E8" s="8" t="s">
        <v>35</v>
      </c>
      <c r="F8" s="10">
        <v>75000</v>
      </c>
      <c r="G8" s="10">
        <v>375</v>
      </c>
      <c r="H8" s="8" t="s">
        <v>13</v>
      </c>
      <c r="I8" s="8" t="s">
        <v>14</v>
      </c>
      <c r="J8" s="7" t="str">
        <f t="shared" si="0"/>
        <v>Tier 3</v>
      </c>
    </row>
    <row r="9" spans="1:10" ht="31.2" x14ac:dyDescent="0.3">
      <c r="A9" s="8" t="s">
        <v>36</v>
      </c>
      <c r="B9" s="9">
        <v>46067</v>
      </c>
      <c r="C9" s="8" t="s">
        <v>37</v>
      </c>
      <c r="D9" s="8" t="s">
        <v>11</v>
      </c>
      <c r="E9" s="8" t="s">
        <v>27</v>
      </c>
      <c r="F9" s="10">
        <v>1200</v>
      </c>
      <c r="G9" s="10">
        <v>12</v>
      </c>
      <c r="H9" s="8" t="s">
        <v>38</v>
      </c>
      <c r="I9" s="8" t="s">
        <v>24</v>
      </c>
      <c r="J9" s="7" t="str">
        <f t="shared" si="0"/>
        <v>Tier 1</v>
      </c>
    </row>
    <row r="10" spans="1:10" ht="46.8" x14ac:dyDescent="0.3">
      <c r="A10" s="8" t="s">
        <v>39</v>
      </c>
      <c r="B10" s="9">
        <v>46075</v>
      </c>
      <c r="C10" s="8" t="s">
        <v>16</v>
      </c>
      <c r="D10" s="8" t="s">
        <v>17</v>
      </c>
      <c r="E10" s="8" t="s">
        <v>18</v>
      </c>
      <c r="F10" s="10">
        <v>9500</v>
      </c>
      <c r="G10" s="10">
        <v>95</v>
      </c>
      <c r="H10" s="8" t="s">
        <v>13</v>
      </c>
      <c r="I10" s="8" t="s">
        <v>19</v>
      </c>
      <c r="J10" s="7" t="str">
        <f t="shared" si="0"/>
        <v>Tier 2</v>
      </c>
    </row>
    <row r="11" spans="1:10" ht="31.2" x14ac:dyDescent="0.3">
      <c r="A11" s="8" t="s">
        <v>40</v>
      </c>
      <c r="B11" s="9">
        <v>46082</v>
      </c>
      <c r="C11" s="8" t="s">
        <v>41</v>
      </c>
      <c r="D11" s="8" t="s">
        <v>11</v>
      </c>
      <c r="E11" s="8" t="s">
        <v>12</v>
      </c>
      <c r="F11" s="10">
        <v>3100</v>
      </c>
      <c r="G11" s="10">
        <v>31</v>
      </c>
      <c r="H11" s="8" t="s">
        <v>13</v>
      </c>
      <c r="I11" s="8" t="s">
        <v>29</v>
      </c>
      <c r="J11" s="7" t="str">
        <f t="shared" si="0"/>
        <v>Tier 1</v>
      </c>
    </row>
    <row r="12" spans="1:10" ht="31.2" x14ac:dyDescent="0.3">
      <c r="A12" s="8" t="s">
        <v>42</v>
      </c>
      <c r="B12" s="9">
        <v>46086</v>
      </c>
      <c r="C12" s="8" t="s">
        <v>21</v>
      </c>
      <c r="D12" s="8" t="s">
        <v>22</v>
      </c>
      <c r="E12" s="8" t="s">
        <v>23</v>
      </c>
      <c r="F12" s="10">
        <v>52000</v>
      </c>
      <c r="G12" s="10">
        <v>416</v>
      </c>
      <c r="H12" s="8" t="s">
        <v>13</v>
      </c>
      <c r="I12" s="8" t="s">
        <v>24</v>
      </c>
      <c r="J12" s="7" t="str">
        <f t="shared" si="0"/>
        <v>Tier 3</v>
      </c>
    </row>
    <row r="13" spans="1:10" ht="46.8" x14ac:dyDescent="0.3">
      <c r="A13" s="8" t="s">
        <v>43</v>
      </c>
      <c r="B13" s="9">
        <v>46093</v>
      </c>
      <c r="C13" s="8" t="s">
        <v>44</v>
      </c>
      <c r="D13" s="8" t="s">
        <v>17</v>
      </c>
      <c r="E13" s="8" t="s">
        <v>12</v>
      </c>
      <c r="F13" s="10">
        <v>14000</v>
      </c>
      <c r="G13" s="10">
        <v>140</v>
      </c>
      <c r="H13" s="8" t="s">
        <v>13</v>
      </c>
      <c r="I13" s="8" t="s">
        <v>14</v>
      </c>
      <c r="J13" s="7" t="str">
        <f t="shared" si="0"/>
        <v>Tier 2</v>
      </c>
    </row>
    <row r="14" spans="1:10" x14ac:dyDescent="0.3">
      <c r="B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opLeftCell="A12" workbookViewId="0">
      <selection activeCell="G27" sqref="G27"/>
    </sheetView>
  </sheetViews>
  <sheetFormatPr defaultRowHeight="14.4" x14ac:dyDescent="0.3"/>
  <cols>
    <col min="2" max="2" width="8.6640625" bestFit="1" customWidth="1"/>
    <col min="3" max="3" width="8.77734375" bestFit="1" customWidth="1"/>
  </cols>
  <sheetData>
    <row r="1" spans="1:3" ht="47.4" thickBot="1" x14ac:dyDescent="0.35">
      <c r="A1" s="2" t="s">
        <v>46</v>
      </c>
      <c r="B1" s="2" t="s">
        <v>47</v>
      </c>
      <c r="C1" s="2" t="s">
        <v>48</v>
      </c>
    </row>
    <row r="2" spans="1:3" ht="63" thickBot="1" x14ac:dyDescent="0.35">
      <c r="A2" s="2" t="s">
        <v>49</v>
      </c>
      <c r="B2" s="3" t="s">
        <v>50</v>
      </c>
      <c r="C2" s="3" t="s">
        <v>51</v>
      </c>
    </row>
    <row r="3" spans="1:3" ht="63" thickBot="1" x14ac:dyDescent="0.35">
      <c r="A3" s="2" t="s">
        <v>52</v>
      </c>
      <c r="B3" s="3" t="s">
        <v>53</v>
      </c>
      <c r="C3" s="3" t="s">
        <v>54</v>
      </c>
    </row>
    <row r="4" spans="1:3" ht="94.2" thickBot="1" x14ac:dyDescent="0.35">
      <c r="A4" s="2" t="s">
        <v>55</v>
      </c>
      <c r="B4" s="3" t="s">
        <v>56</v>
      </c>
      <c r="C4" s="3" t="s">
        <v>57</v>
      </c>
    </row>
    <row r="5" spans="1:3" ht="78.599999999999994" thickBot="1" x14ac:dyDescent="0.35">
      <c r="A5" s="2" t="s">
        <v>58</v>
      </c>
      <c r="B5" s="3" t="s">
        <v>59</v>
      </c>
      <c r="C5" s="3" t="s">
        <v>60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topLeftCell="A3" workbookViewId="0">
      <selection activeCell="B31" sqref="B31"/>
    </sheetView>
  </sheetViews>
  <sheetFormatPr defaultRowHeight="14.4" x14ac:dyDescent="0.3"/>
  <cols>
    <col min="1" max="1" width="12.5546875" bestFit="1" customWidth="1"/>
    <col min="2" max="2" width="17.33203125" bestFit="1" customWidth="1"/>
  </cols>
  <sheetData>
    <row r="1" spans="1:2" x14ac:dyDescent="0.3">
      <c r="A1" s="11" t="s">
        <v>61</v>
      </c>
      <c r="B1" t="s">
        <v>63</v>
      </c>
    </row>
    <row r="2" spans="1:2" x14ac:dyDescent="0.3">
      <c r="A2" s="12" t="s">
        <v>64</v>
      </c>
      <c r="B2" s="13">
        <v>525</v>
      </c>
    </row>
    <row r="3" spans="1:2" x14ac:dyDescent="0.3">
      <c r="A3" s="12" t="s">
        <v>65</v>
      </c>
      <c r="B3" s="13">
        <v>630</v>
      </c>
    </row>
    <row r="4" spans="1:2" x14ac:dyDescent="0.3">
      <c r="A4" s="12" t="s">
        <v>66</v>
      </c>
      <c r="B4" s="13">
        <v>587</v>
      </c>
    </row>
    <row r="5" spans="1:2" x14ac:dyDescent="0.3">
      <c r="A5" s="12" t="s">
        <v>62</v>
      </c>
      <c r="B5" s="13">
        <v>1742</v>
      </c>
    </row>
    <row r="15" spans="1:2" x14ac:dyDescent="0.3">
      <c r="A15" s="11" t="s">
        <v>61</v>
      </c>
      <c r="B15" t="s">
        <v>67</v>
      </c>
    </row>
    <row r="16" spans="1:2" x14ac:dyDescent="0.3">
      <c r="A16" s="14" t="s">
        <v>23</v>
      </c>
      <c r="B16" s="13">
        <v>115500</v>
      </c>
    </row>
    <row r="17" spans="1:2" x14ac:dyDescent="0.3">
      <c r="A17" s="14" t="s">
        <v>35</v>
      </c>
      <c r="B17" s="13">
        <v>75000</v>
      </c>
    </row>
    <row r="18" spans="1:2" x14ac:dyDescent="0.3">
      <c r="A18" s="14" t="s">
        <v>18</v>
      </c>
      <c r="B18" s="13">
        <v>21500</v>
      </c>
    </row>
    <row r="19" spans="1:2" x14ac:dyDescent="0.3">
      <c r="A19" s="14" t="s">
        <v>12</v>
      </c>
      <c r="B19" s="13">
        <v>20800</v>
      </c>
    </row>
    <row r="20" spans="1:2" x14ac:dyDescent="0.3">
      <c r="A20" s="14" t="s">
        <v>27</v>
      </c>
      <c r="B20" s="13">
        <v>2000</v>
      </c>
    </row>
    <row r="21" spans="1:2" x14ac:dyDescent="0.3">
      <c r="A21" s="14" t="s">
        <v>62</v>
      </c>
      <c r="B21" s="13">
        <v>234800</v>
      </c>
    </row>
    <row r="28" spans="1:2" x14ac:dyDescent="0.3">
      <c r="A28" s="11" t="s">
        <v>61</v>
      </c>
      <c r="B28" t="s">
        <v>67</v>
      </c>
    </row>
    <row r="29" spans="1:2" x14ac:dyDescent="0.3">
      <c r="A29" s="14" t="s">
        <v>29</v>
      </c>
      <c r="B29" s="13">
        <v>3900</v>
      </c>
    </row>
    <row r="30" spans="1:2" x14ac:dyDescent="0.3">
      <c r="A30" s="14" t="s">
        <v>14</v>
      </c>
      <c r="B30" s="13">
        <v>92700</v>
      </c>
    </row>
    <row r="31" spans="1:2" x14ac:dyDescent="0.3">
      <c r="A31" s="14" t="s">
        <v>24</v>
      </c>
      <c r="B31" s="13">
        <v>98200</v>
      </c>
    </row>
    <row r="32" spans="1:2" x14ac:dyDescent="0.3">
      <c r="A32" s="14" t="s">
        <v>19</v>
      </c>
      <c r="B32" s="13">
        <v>40000</v>
      </c>
    </row>
    <row r="33" spans="1:2" x14ac:dyDescent="0.3">
      <c r="A33" s="14" t="s">
        <v>62</v>
      </c>
      <c r="B33" s="13">
        <v>234800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Dashboard</vt:lpstr>
      <vt:lpstr>Pivot_Store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ahire</dc:creator>
  <cp:lastModifiedBy>abhishek ahire</cp:lastModifiedBy>
  <dcterms:created xsi:type="dcterms:W3CDTF">2026-10-20T04:39:36Z</dcterms:created>
  <dcterms:modified xsi:type="dcterms:W3CDTF">2026-10-20T17:06:21Z</dcterms:modified>
</cp:coreProperties>
</file>